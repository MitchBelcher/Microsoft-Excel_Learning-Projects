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Complete-2026/Exercise Files/COM-Excel101Files/"/>
    </mc:Choice>
  </mc:AlternateContent>
  <xr:revisionPtr revIDLastSave="6" documentId="8_{433BCBE3-54B4-4A6B-8564-BEE54535BA8D}" xr6:coauthVersionLast="47" xr6:coauthVersionMax="47" xr10:uidLastSave="{2FF12CCA-6753-4A5D-A004-44B3603D60EC}"/>
  <bookViews>
    <workbookView xWindow="-120" yWindow="-120" windowWidth="29040" windowHeight="16440" xr2:uid="{A8827811-4D1A-4C11-8C7F-9EAD45B22792}"/>
  </bookViews>
  <sheets>
    <sheet name="Monthly Budget" sheetId="1" r:id="rId1"/>
  </sheets>
  <definedNames>
    <definedName name="_xlnm.Print_Area" localSheetId="0">'Monthly Budget'!$A$1:$R$21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5" i="1"/>
  <c r="D10" i="1"/>
  <c r="E10" i="1"/>
  <c r="F10" i="1"/>
  <c r="C10" i="1"/>
  <c r="D12" i="1"/>
  <c r="E12" i="1"/>
  <c r="F12" i="1"/>
  <c r="D13" i="1"/>
  <c r="E13" i="1"/>
  <c r="F13" i="1"/>
  <c r="D14" i="1"/>
  <c r="E14" i="1"/>
  <c r="F14" i="1"/>
  <c r="D15" i="1"/>
  <c r="E15" i="1"/>
  <c r="F15" i="1"/>
  <c r="C15" i="1"/>
  <c r="C14" i="1"/>
  <c r="C13" i="1"/>
  <c r="C12" i="1"/>
  <c r="G10" i="1" l="1"/>
</calcChain>
</file>

<file path=xl/sharedStrings.xml><?xml version="1.0" encoding="utf-8"?>
<sst xmlns="http://schemas.openxmlformats.org/spreadsheetml/2006/main" count="14" uniqueCount="13">
  <si>
    <t>Bills</t>
  </si>
  <si>
    <t>Rent</t>
  </si>
  <si>
    <t>Car Payment</t>
  </si>
  <si>
    <t>Insurance</t>
  </si>
  <si>
    <t>Phone</t>
  </si>
  <si>
    <t>Candy</t>
  </si>
  <si>
    <t>Total</t>
  </si>
  <si>
    <t>Percent</t>
  </si>
  <si>
    <t>AVERAGE</t>
  </si>
  <si>
    <t>MIN</t>
  </si>
  <si>
    <t>MAX</t>
  </si>
  <si>
    <t>COUNT</t>
  </si>
  <si>
    <t>Monthly Budget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</si>
</sst>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465926084170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theme="7" tint="-0.24994659260841701"/>
      </left>
      <right/>
      <top style="medium">
        <color indexed="64"/>
      </top>
      <bottom/>
      <diagonal/>
    </border>
    <border>
      <left style="double">
        <color theme="7" tint="-0.24994659260841701"/>
      </left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6" borderId="1" applyNumberFormat="0"/>
  </cellStyleXfs>
  <cellXfs count="16">
    <xf numFmtId="0" fontId="0" fillId="0" borderId="0" xfId="0"/>
    <xf numFmtId="0" fontId="1" fillId="3" borderId="6" xfId="0" applyFont="1" applyFill="1" applyBorder="1"/>
    <xf numFmtId="0" fontId="1" fillId="3" borderId="7" xfId="0" applyFont="1" applyFill="1" applyBorder="1"/>
    <xf numFmtId="0" fontId="3" fillId="4" borderId="8" xfId="0" applyFont="1" applyFill="1" applyBorder="1"/>
    <xf numFmtId="0" fontId="5" fillId="4" borderId="1" xfId="0" applyFont="1" applyFill="1" applyBorder="1"/>
    <xf numFmtId="44" fontId="0" fillId="0" borderId="0" xfId="2" applyFont="1"/>
    <xf numFmtId="44" fontId="0" fillId="5" borderId="3" xfId="2" applyFont="1" applyFill="1" applyBorder="1"/>
    <xf numFmtId="44" fontId="0" fillId="5" borderId="2" xfId="2" applyFont="1" applyFill="1" applyBorder="1"/>
    <xf numFmtId="44" fontId="0" fillId="5" borderId="5" xfId="2" applyFont="1" applyFill="1" applyBorder="1"/>
    <xf numFmtId="43" fontId="0" fillId="0" borderId="0" xfId="1" applyFont="1"/>
    <xf numFmtId="43" fontId="0" fillId="5" borderId="4" xfId="1" applyFont="1" applyFill="1" applyBorder="1"/>
    <xf numFmtId="10" fontId="1" fillId="0" borderId="9" xfId="3" applyNumberFormat="1" applyFont="1" applyBorder="1"/>
    <xf numFmtId="10" fontId="1" fillId="0" borderId="10" xfId="3" applyNumberFormat="1" applyFont="1" applyBorder="1"/>
    <xf numFmtId="0" fontId="5" fillId="6" borderId="1" xfId="4"/>
    <xf numFmtId="164" fontId="5" fillId="6" borderId="1" xfId="4" applyNumberFormat="1"/>
    <xf numFmtId="0" fontId="6" fillId="2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HeaderStyles" xfId="4" xr:uid="{2A1FDA3D-FAF8-4E7F-A3E1-01E20632669D}"/>
    <cellStyle name="Normal" xfId="0" builtinId="0"/>
    <cellStyle name="Percent" xfId="3" builtinId="5"/>
  </cellStyles>
  <dxfs count="1">
    <dxf>
      <font>
        <color theme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5DEF-1445-437A-9F95-A51AA375E64E}">
  <dimension ref="B2:H15"/>
  <sheetViews>
    <sheetView showGridLines="0" tabSelected="1" zoomScale="160" zoomScaleNormal="160" workbookViewId="0">
      <selection activeCell="H5" sqref="H5"/>
    </sheetView>
  </sheetViews>
  <sheetFormatPr defaultRowHeight="15" x14ac:dyDescent="0.25"/>
  <cols>
    <col min="1" max="1" width="2.7109375" customWidth="1"/>
    <col min="2" max="2" width="12" customWidth="1"/>
    <col min="3" max="6" width="10.5703125" bestFit="1" customWidth="1"/>
    <col min="7" max="7" width="11.5703125" bestFit="1" customWidth="1"/>
    <col min="8" max="8" width="10.28515625" customWidth="1"/>
    <col min="18" max="18" width="13.140625" customWidth="1"/>
  </cols>
  <sheetData>
    <row r="2" spans="2:8" ht="31.5" x14ac:dyDescent="0.5">
      <c r="B2" s="15" t="s">
        <v>12</v>
      </c>
      <c r="C2" s="15"/>
      <c r="D2" s="15"/>
      <c r="E2" s="15"/>
      <c r="F2" s="15"/>
      <c r="G2" s="15"/>
      <c r="H2" s="15"/>
    </row>
    <row r="4" spans="2:8" ht="14.25" customHeight="1" thickBot="1" x14ac:dyDescent="0.3">
      <c r="B4" s="13" t="s">
        <v>0</v>
      </c>
      <c r="C4" s="14">
        <v>46054</v>
      </c>
      <c r="D4" s="14">
        <v>46082</v>
      </c>
      <c r="E4" s="14">
        <v>46113</v>
      </c>
      <c r="F4" s="14">
        <v>46143</v>
      </c>
      <c r="G4" s="4" t="s">
        <v>6</v>
      </c>
      <c r="H4" s="13" t="s">
        <v>7</v>
      </c>
    </row>
    <row r="5" spans="2:8" x14ac:dyDescent="0.25">
      <c r="B5" s="1" t="s">
        <v>1</v>
      </c>
      <c r="C5" s="5">
        <v>1200</v>
      </c>
      <c r="D5" s="5">
        <v>1200</v>
      </c>
      <c r="E5" s="5">
        <v>1200</v>
      </c>
      <c r="F5" s="5">
        <v>1200</v>
      </c>
      <c r="G5" s="6">
        <f>SUM(C5:F5)</f>
        <v>4800</v>
      </c>
      <c r="H5" s="11"/>
    </row>
    <row r="6" spans="2:8" x14ac:dyDescent="0.25">
      <c r="B6" s="2" t="s">
        <v>2</v>
      </c>
      <c r="C6" s="9">
        <v>450</v>
      </c>
      <c r="D6" s="9">
        <v>500</v>
      </c>
      <c r="E6" s="9">
        <v>450</v>
      </c>
      <c r="F6" s="9">
        <v>650</v>
      </c>
      <c r="G6" s="10">
        <f t="shared" ref="G6:G10" si="0">SUM(C6:F6)</f>
        <v>2050</v>
      </c>
      <c r="H6" s="12"/>
    </row>
    <row r="7" spans="2:8" x14ac:dyDescent="0.25">
      <c r="B7" s="2" t="s">
        <v>3</v>
      </c>
      <c r="C7" s="9">
        <v>700</v>
      </c>
      <c r="D7" s="9">
        <v>700</v>
      </c>
      <c r="E7" s="9">
        <v>700</v>
      </c>
      <c r="F7" s="9">
        <v>700</v>
      </c>
      <c r="G7" s="10">
        <f t="shared" si="0"/>
        <v>2800</v>
      </c>
      <c r="H7" s="12"/>
    </row>
    <row r="8" spans="2:8" x14ac:dyDescent="0.25">
      <c r="B8" s="2" t="s">
        <v>4</v>
      </c>
      <c r="C8" s="9">
        <v>95</v>
      </c>
      <c r="D8" s="9">
        <v>95</v>
      </c>
      <c r="E8" s="9">
        <v>125</v>
      </c>
      <c r="F8" s="9">
        <v>95</v>
      </c>
      <c r="G8" s="10">
        <f t="shared" si="0"/>
        <v>410</v>
      </c>
      <c r="H8" s="12"/>
    </row>
    <row r="9" spans="2:8" x14ac:dyDescent="0.25">
      <c r="B9" s="2" t="s">
        <v>5</v>
      </c>
      <c r="C9" s="9">
        <v>150</v>
      </c>
      <c r="D9" s="9">
        <v>100</v>
      </c>
      <c r="E9" s="9">
        <v>50</v>
      </c>
      <c r="F9" s="9">
        <v>75</v>
      </c>
      <c r="G9" s="10">
        <f t="shared" si="0"/>
        <v>375</v>
      </c>
      <c r="H9" s="12"/>
    </row>
    <row r="10" spans="2:8" x14ac:dyDescent="0.25">
      <c r="B10" s="3" t="s">
        <v>6</v>
      </c>
      <c r="C10" s="7">
        <f>SUM(C5:C9)</f>
        <v>2595</v>
      </c>
      <c r="D10" s="7">
        <f t="shared" ref="D10:F10" si="1">SUM(D5:D9)</f>
        <v>2595</v>
      </c>
      <c r="E10" s="7">
        <f t="shared" si="1"/>
        <v>2525</v>
      </c>
      <c r="F10" s="7">
        <f t="shared" si="1"/>
        <v>2720</v>
      </c>
      <c r="G10" s="8">
        <f t="shared" si="0"/>
        <v>10435</v>
      </c>
    </row>
    <row r="12" spans="2:8" x14ac:dyDescent="0.25">
      <c r="B12" s="2" t="s">
        <v>8</v>
      </c>
      <c r="C12" s="5">
        <f>AVERAGE(C5:C9)</f>
        <v>519</v>
      </c>
      <c r="D12" s="5">
        <f t="shared" ref="D12:F12" si="2">AVERAGE(D5:D9)</f>
        <v>519</v>
      </c>
      <c r="E12" s="5">
        <f t="shared" si="2"/>
        <v>505</v>
      </c>
      <c r="F12" s="5">
        <f t="shared" si="2"/>
        <v>544</v>
      </c>
    </row>
    <row r="13" spans="2:8" x14ac:dyDescent="0.25">
      <c r="B13" s="2" t="s">
        <v>9</v>
      </c>
      <c r="C13" s="9">
        <f>MIN(C5:C9)</f>
        <v>95</v>
      </c>
      <c r="D13" s="9">
        <f t="shared" ref="D13:F13" si="3">MIN(D5:D9)</f>
        <v>95</v>
      </c>
      <c r="E13" s="9">
        <f t="shared" si="3"/>
        <v>50</v>
      </c>
      <c r="F13" s="9">
        <f t="shared" si="3"/>
        <v>75</v>
      </c>
    </row>
    <row r="14" spans="2:8" x14ac:dyDescent="0.25">
      <c r="B14" s="2" t="s">
        <v>10</v>
      </c>
      <c r="C14" s="5">
        <f>MAX(C5:C9)</f>
        <v>1200</v>
      </c>
      <c r="D14" s="5">
        <f t="shared" ref="D14:F14" si="4">MAX(D5:D9)</f>
        <v>1200</v>
      </c>
      <c r="E14" s="5">
        <f t="shared" si="4"/>
        <v>1200</v>
      </c>
      <c r="F14" s="5">
        <f t="shared" si="4"/>
        <v>1200</v>
      </c>
    </row>
    <row r="15" spans="2:8" x14ac:dyDescent="0.25">
      <c r="B15" s="2" t="s">
        <v>11</v>
      </c>
      <c r="C15">
        <f>COUNT(C5:C9)</f>
        <v>5</v>
      </c>
      <c r="D15">
        <f t="shared" ref="D15:F15" si="5">COUNT(D5:D9)</f>
        <v>5</v>
      </c>
      <c r="E15">
        <f t="shared" si="5"/>
        <v>5</v>
      </c>
      <c r="F15">
        <f t="shared" si="5"/>
        <v>5</v>
      </c>
    </row>
  </sheetData>
  <mergeCells count="1">
    <mergeCell ref="B2:H2"/>
  </mergeCells>
  <phoneticPr fontId="4" type="noConversion"/>
  <conditionalFormatting sqref="C5:F9">
    <cfRule type="cellIs" dxfId="0" priority="1" operator="greaterThan">
      <formula>700</formula>
    </cfRule>
  </conditionalFormatting>
  <printOptions horizontalCentered="1" verticalCentered="1"/>
  <pageMargins left="0.25" right="0.25" top="0.75" bottom="0.75" header="0.3" footer="0.3"/>
  <pageSetup scale="145" pageOrder="overThenDown" orientation="landscape" r:id="rId1"/>
  <headerFooter>
    <oddHeader>&amp;RKyle Pew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Budget</vt:lpstr>
      <vt:lpstr>'Monthly Budget'!Print_Area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cp:lastPrinted>2026-02-11T18:13:02Z</cp:lastPrinted>
  <dcterms:created xsi:type="dcterms:W3CDTF">2026-02-03T17:58:57Z</dcterms:created>
  <dcterms:modified xsi:type="dcterms:W3CDTF">2026-02-13T16:56:07Z</dcterms:modified>
</cp:coreProperties>
</file>