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de5c48f32aaca3/OfficeNewb/Videos/MicrosoftOffice/ExcelComplete-2026/Exercise Files/COM-Excel101Files/"/>
    </mc:Choice>
  </mc:AlternateContent>
  <xr:revisionPtr revIDLastSave="1" documentId="8_{BB494943-C4DD-481B-A0FA-D25B0C280249}" xr6:coauthVersionLast="47" xr6:coauthVersionMax="47" xr10:uidLastSave="{9E4A59C1-9CAC-4912-9D50-8B4D6F62D24E}"/>
  <bookViews>
    <workbookView xWindow="-120" yWindow="-120" windowWidth="29040" windowHeight="16440" xr2:uid="{A8827811-4D1A-4C11-8C7F-9EAD45B22792}"/>
  </bookViews>
  <sheets>
    <sheet name="Monthly Budget" sheetId="1" r:id="rId1"/>
  </sheets>
  <definedNames>
    <definedName name="_xlnm.Print_Area" localSheetId="0">'Monthly Budget'!$A$1:$R$21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9" i="1"/>
  <c r="G5" i="1"/>
  <c r="D10" i="1"/>
  <c r="E10" i="1"/>
  <c r="F10" i="1"/>
  <c r="C10" i="1"/>
  <c r="D12" i="1"/>
  <c r="E12" i="1"/>
  <c r="F12" i="1"/>
  <c r="D13" i="1"/>
  <c r="E13" i="1"/>
  <c r="F13" i="1"/>
  <c r="D14" i="1"/>
  <c r="E14" i="1"/>
  <c r="F14" i="1"/>
  <c r="D15" i="1"/>
  <c r="E15" i="1"/>
  <c r="F15" i="1"/>
  <c r="C15" i="1"/>
  <c r="C14" i="1"/>
  <c r="C13" i="1"/>
  <c r="C12" i="1"/>
  <c r="G10" i="1" l="1"/>
  <c r="H8" i="1" l="1"/>
  <c r="H5" i="1"/>
  <c r="H9" i="1"/>
  <c r="H6" i="1"/>
  <c r="H7" i="1"/>
</calcChain>
</file>

<file path=xl/sharedStrings.xml><?xml version="1.0" encoding="utf-8"?>
<sst xmlns="http://schemas.openxmlformats.org/spreadsheetml/2006/main" count="14" uniqueCount="13">
  <si>
    <t>Bills</t>
  </si>
  <si>
    <t>Rent</t>
  </si>
  <si>
    <t>Car Payment</t>
  </si>
  <si>
    <t>Insurance</t>
  </si>
  <si>
    <t>Phone</t>
  </si>
  <si>
    <t>Candy</t>
  </si>
  <si>
    <t>Total</t>
  </si>
  <si>
    <t>Percent</t>
  </si>
  <si>
    <t>AVERAGE</t>
  </si>
  <si>
    <t>MIN</t>
  </si>
  <si>
    <t>MAX</t>
  </si>
  <si>
    <t>COUNT</t>
  </si>
  <si>
    <t>Monthly Budget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</si>
</sst>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465926084170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7" tint="-0.24994659260841701"/>
      </left>
      <right/>
      <top style="medium">
        <color indexed="64"/>
      </top>
      <bottom/>
      <diagonal/>
    </border>
    <border>
      <left style="double">
        <color theme="7" tint="-0.24994659260841701"/>
      </left>
      <right/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6" borderId="1" applyNumberFormat="0"/>
  </cellStyleXfs>
  <cellXfs count="16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3" fillId="4" borderId="8" xfId="0" applyFont="1" applyFill="1" applyBorder="1"/>
    <xf numFmtId="0" fontId="5" fillId="4" borderId="1" xfId="0" applyFont="1" applyFill="1" applyBorder="1"/>
    <xf numFmtId="44" fontId="0" fillId="0" borderId="0" xfId="2" applyFont="1"/>
    <xf numFmtId="44" fontId="0" fillId="5" borderId="3" xfId="2" applyFont="1" applyFill="1" applyBorder="1"/>
    <xf numFmtId="44" fontId="0" fillId="5" borderId="2" xfId="2" applyFont="1" applyFill="1" applyBorder="1"/>
    <xf numFmtId="44" fontId="0" fillId="5" borderId="5" xfId="2" applyFont="1" applyFill="1" applyBorder="1"/>
    <xf numFmtId="43" fontId="0" fillId="0" borderId="0" xfId="1" applyFont="1"/>
    <xf numFmtId="43" fontId="0" fillId="5" borderId="4" xfId="1" applyFont="1" applyFill="1" applyBorder="1"/>
    <xf numFmtId="10" fontId="1" fillId="0" borderId="9" xfId="3" applyNumberFormat="1" applyFont="1" applyBorder="1"/>
    <xf numFmtId="10" fontId="1" fillId="0" borderId="10" xfId="3" applyNumberFormat="1" applyFont="1" applyBorder="1"/>
    <xf numFmtId="0" fontId="5" fillId="6" borderId="1" xfId="4"/>
    <xf numFmtId="164" fontId="5" fillId="6" borderId="1" xfId="4" applyNumberFormat="1"/>
    <xf numFmtId="0" fontId="6" fillId="2" borderId="0" xfId="0" applyFont="1" applyFill="1" applyAlignment="1">
      <alignment horizontal="center"/>
    </xf>
  </cellXfs>
  <cellStyles count="5">
    <cellStyle name="Comma" xfId="1" builtinId="3"/>
    <cellStyle name="Currency" xfId="2" builtinId="4"/>
    <cellStyle name="HeaderStyles" xfId="4" xr:uid="{2A1FDA3D-FAF8-4E7F-A3E1-01E20632669D}"/>
    <cellStyle name="Normal" xfId="0" builtinId="0"/>
    <cellStyle name="Percent" xfId="3" builtinId="5"/>
  </cellStyles>
  <dxfs count="1">
    <dxf>
      <font>
        <color theme="1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Budget'!$D$4</c:f>
              <c:strCache>
                <c:ptCount val="1"/>
                <c:pt idx="0">
                  <c:v>Mar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F4-48CE-B07A-806FE9E3DC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F4-48CE-B07A-806FE9E3DC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F4-48CE-B07A-806FE9E3DC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2F4-48CE-B07A-806FE9E3DC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2F4-48CE-B07A-806FE9E3DC8C}"/>
              </c:ext>
            </c:extLst>
          </c:dPt>
          <c:cat>
            <c:strRef>
              <c:f>'Monthly Budget'!$B$5:$B$9</c:f>
              <c:strCache>
                <c:ptCount val="5"/>
                <c:pt idx="0">
                  <c:v>Rent</c:v>
                </c:pt>
                <c:pt idx="1">
                  <c:v>Car Payment</c:v>
                </c:pt>
                <c:pt idx="2">
                  <c:v>Insurance</c:v>
                </c:pt>
                <c:pt idx="3">
                  <c:v>Phone</c:v>
                </c:pt>
                <c:pt idx="4">
                  <c:v>Candy</c:v>
                </c:pt>
              </c:strCache>
            </c:strRef>
          </c:cat>
          <c:val>
            <c:numRef>
              <c:f>'Monthly Budget'!$D$5:$D$9</c:f>
              <c:numCache>
                <c:formatCode>_(* #,##0.00_);_(* \(#,##0.00\);_(* "-"??_);_(@_)</c:formatCode>
                <c:ptCount val="5"/>
                <c:pt idx="0" formatCode="_(&quot;$&quot;* #,##0.00_);_(&quot;$&quot;* \(#,##0.00\);_(&quot;$&quot;* &quot;-&quot;??_);_(@_)">
                  <c:v>1200</c:v>
                </c:pt>
                <c:pt idx="1">
                  <c:v>500</c:v>
                </c:pt>
                <c:pt idx="2">
                  <c:v>700</c:v>
                </c:pt>
                <c:pt idx="3">
                  <c:v>95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1-4252-A07F-4408B22A2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1FB4693-F489-49C2-B13F-C595A773F44F}" type="doc">
      <dgm:prSet loTypeId="urn:microsoft.com/office/officeart/2005/8/layout/process1" loCatId="process" qsTypeId="urn:microsoft.com/office/officeart/2005/8/quickstyle/simple1" qsCatId="simple" csTypeId="urn:microsoft.com/office/officeart/2005/8/colors/accent1_2" csCatId="accent1" phldr="1"/>
      <dgm:spPr/>
    </dgm:pt>
    <dgm:pt modelId="{D86D129E-AC2A-4E19-B460-BF720026137F}">
      <dgm:prSet phldrT="[Text]"/>
      <dgm:spPr/>
      <dgm:t>
        <a:bodyPr/>
        <a:lstStyle/>
        <a:p>
          <a:r>
            <a:rPr lang="en-US"/>
            <a:t>Get a Job</a:t>
          </a:r>
        </a:p>
      </dgm:t>
    </dgm:pt>
    <dgm:pt modelId="{6A70EFA1-16A0-46E0-986E-C9DBE449A7F1}" type="parTrans" cxnId="{504B623E-4426-4818-8980-582A16DE3F5C}">
      <dgm:prSet/>
      <dgm:spPr/>
      <dgm:t>
        <a:bodyPr/>
        <a:lstStyle/>
        <a:p>
          <a:endParaRPr lang="en-US"/>
        </a:p>
      </dgm:t>
    </dgm:pt>
    <dgm:pt modelId="{C50F312D-741E-46E6-B9FE-8CD011059B79}" type="sibTrans" cxnId="{504B623E-4426-4818-8980-582A16DE3F5C}">
      <dgm:prSet/>
      <dgm:spPr/>
      <dgm:t>
        <a:bodyPr/>
        <a:lstStyle/>
        <a:p>
          <a:endParaRPr lang="en-US"/>
        </a:p>
      </dgm:t>
    </dgm:pt>
    <dgm:pt modelId="{AF88A060-62AE-4F97-B358-D217AF30596F}">
      <dgm:prSet phldrT="[Text]"/>
      <dgm:spPr/>
      <dgm:t>
        <a:bodyPr/>
        <a:lstStyle/>
        <a:p>
          <a:r>
            <a:rPr lang="en-US"/>
            <a:t>Work</a:t>
          </a:r>
        </a:p>
      </dgm:t>
    </dgm:pt>
    <dgm:pt modelId="{E1C1C054-BFC6-4170-B835-CA23ECF68D4B}" type="parTrans" cxnId="{7953DA15-45E9-4825-ADD6-7758FB4577F9}">
      <dgm:prSet/>
      <dgm:spPr/>
      <dgm:t>
        <a:bodyPr/>
        <a:lstStyle/>
        <a:p>
          <a:endParaRPr lang="en-US"/>
        </a:p>
      </dgm:t>
    </dgm:pt>
    <dgm:pt modelId="{ECD25430-01FD-4AB9-8732-67AFE6866FC3}" type="sibTrans" cxnId="{7953DA15-45E9-4825-ADD6-7758FB4577F9}">
      <dgm:prSet/>
      <dgm:spPr/>
      <dgm:t>
        <a:bodyPr/>
        <a:lstStyle/>
        <a:p>
          <a:endParaRPr lang="en-US"/>
        </a:p>
      </dgm:t>
    </dgm:pt>
    <dgm:pt modelId="{09B150F9-A70F-4F63-93D5-1F687BA32981}">
      <dgm:prSet phldrT="[Text]"/>
      <dgm:spPr/>
      <dgm:t>
        <a:bodyPr/>
        <a:lstStyle/>
        <a:p>
          <a:r>
            <a:rPr lang="en-US"/>
            <a:t>Get Paid</a:t>
          </a:r>
        </a:p>
      </dgm:t>
    </dgm:pt>
    <dgm:pt modelId="{CA45F723-7A18-4DA7-90EB-C80DA11E581B}" type="parTrans" cxnId="{85912E54-92EA-401A-AEC3-D1C5B197F4D0}">
      <dgm:prSet/>
      <dgm:spPr/>
      <dgm:t>
        <a:bodyPr/>
        <a:lstStyle/>
        <a:p>
          <a:endParaRPr lang="en-US"/>
        </a:p>
      </dgm:t>
    </dgm:pt>
    <dgm:pt modelId="{DBEB5C37-7A5D-4A94-8527-5E3339529283}" type="sibTrans" cxnId="{85912E54-92EA-401A-AEC3-D1C5B197F4D0}">
      <dgm:prSet/>
      <dgm:spPr/>
      <dgm:t>
        <a:bodyPr/>
        <a:lstStyle/>
        <a:p>
          <a:endParaRPr lang="en-US"/>
        </a:p>
      </dgm:t>
    </dgm:pt>
    <dgm:pt modelId="{B5795944-4AB0-4792-BE9D-6E2484D6A860}" type="pres">
      <dgm:prSet presAssocID="{31FB4693-F489-49C2-B13F-C595A773F44F}" presName="Name0" presStyleCnt="0">
        <dgm:presLayoutVars>
          <dgm:dir/>
          <dgm:resizeHandles val="exact"/>
        </dgm:presLayoutVars>
      </dgm:prSet>
      <dgm:spPr/>
    </dgm:pt>
    <dgm:pt modelId="{A166B2FD-3B49-4D8D-9977-C990E2FF4C2E}" type="pres">
      <dgm:prSet presAssocID="{D86D129E-AC2A-4E19-B460-BF720026137F}" presName="node" presStyleLbl="node1" presStyleIdx="0" presStyleCnt="3">
        <dgm:presLayoutVars>
          <dgm:bulletEnabled val="1"/>
        </dgm:presLayoutVars>
      </dgm:prSet>
      <dgm:spPr/>
    </dgm:pt>
    <dgm:pt modelId="{1A8807AE-AA7E-4A40-8EDE-2814EBC149FB}" type="pres">
      <dgm:prSet presAssocID="{C50F312D-741E-46E6-B9FE-8CD011059B79}" presName="sibTrans" presStyleLbl="sibTrans2D1" presStyleIdx="0" presStyleCnt="2"/>
      <dgm:spPr/>
    </dgm:pt>
    <dgm:pt modelId="{596F218C-8F6F-4FDE-A2F3-BB4F633480E4}" type="pres">
      <dgm:prSet presAssocID="{C50F312D-741E-46E6-B9FE-8CD011059B79}" presName="connectorText" presStyleLbl="sibTrans2D1" presStyleIdx="0" presStyleCnt="2"/>
      <dgm:spPr/>
    </dgm:pt>
    <dgm:pt modelId="{325FBB66-07C5-4A17-8F78-8C8A59257B92}" type="pres">
      <dgm:prSet presAssocID="{AF88A060-62AE-4F97-B358-D217AF30596F}" presName="node" presStyleLbl="node1" presStyleIdx="1" presStyleCnt="3">
        <dgm:presLayoutVars>
          <dgm:bulletEnabled val="1"/>
        </dgm:presLayoutVars>
      </dgm:prSet>
      <dgm:spPr/>
    </dgm:pt>
    <dgm:pt modelId="{525512A2-2D64-44B9-B50C-0ADAE482549E}" type="pres">
      <dgm:prSet presAssocID="{ECD25430-01FD-4AB9-8732-67AFE6866FC3}" presName="sibTrans" presStyleLbl="sibTrans2D1" presStyleIdx="1" presStyleCnt="2"/>
      <dgm:spPr/>
    </dgm:pt>
    <dgm:pt modelId="{5CB755E5-DA3D-48B4-B135-5CCEDC5FD2D7}" type="pres">
      <dgm:prSet presAssocID="{ECD25430-01FD-4AB9-8732-67AFE6866FC3}" presName="connectorText" presStyleLbl="sibTrans2D1" presStyleIdx="1" presStyleCnt="2"/>
      <dgm:spPr/>
    </dgm:pt>
    <dgm:pt modelId="{9815354A-51D7-405A-A0C9-6C8C5B6032A4}" type="pres">
      <dgm:prSet presAssocID="{09B150F9-A70F-4F63-93D5-1F687BA32981}" presName="node" presStyleLbl="node1" presStyleIdx="2" presStyleCnt="3">
        <dgm:presLayoutVars>
          <dgm:bulletEnabled val="1"/>
        </dgm:presLayoutVars>
      </dgm:prSet>
      <dgm:spPr/>
    </dgm:pt>
  </dgm:ptLst>
  <dgm:cxnLst>
    <dgm:cxn modelId="{838F4309-88FD-4A15-9299-83BCDD96D27C}" type="presOf" srcId="{AF88A060-62AE-4F97-B358-D217AF30596F}" destId="{325FBB66-07C5-4A17-8F78-8C8A59257B92}" srcOrd="0" destOrd="0" presId="urn:microsoft.com/office/officeart/2005/8/layout/process1"/>
    <dgm:cxn modelId="{7953DA15-45E9-4825-ADD6-7758FB4577F9}" srcId="{31FB4693-F489-49C2-B13F-C595A773F44F}" destId="{AF88A060-62AE-4F97-B358-D217AF30596F}" srcOrd="1" destOrd="0" parTransId="{E1C1C054-BFC6-4170-B835-CA23ECF68D4B}" sibTransId="{ECD25430-01FD-4AB9-8732-67AFE6866FC3}"/>
    <dgm:cxn modelId="{A149AD1C-B6BF-4131-AE7E-46020ED484DE}" type="presOf" srcId="{C50F312D-741E-46E6-B9FE-8CD011059B79}" destId="{596F218C-8F6F-4FDE-A2F3-BB4F633480E4}" srcOrd="1" destOrd="0" presId="urn:microsoft.com/office/officeart/2005/8/layout/process1"/>
    <dgm:cxn modelId="{B90A4F2E-45DD-422A-8D5A-3811DC489405}" type="presOf" srcId="{31FB4693-F489-49C2-B13F-C595A773F44F}" destId="{B5795944-4AB0-4792-BE9D-6E2484D6A860}" srcOrd="0" destOrd="0" presId="urn:microsoft.com/office/officeart/2005/8/layout/process1"/>
    <dgm:cxn modelId="{D61AFA2F-F22E-4E8A-B7A3-7546EA4AAB68}" type="presOf" srcId="{ECD25430-01FD-4AB9-8732-67AFE6866FC3}" destId="{525512A2-2D64-44B9-B50C-0ADAE482549E}" srcOrd="0" destOrd="0" presId="urn:microsoft.com/office/officeart/2005/8/layout/process1"/>
    <dgm:cxn modelId="{504B623E-4426-4818-8980-582A16DE3F5C}" srcId="{31FB4693-F489-49C2-B13F-C595A773F44F}" destId="{D86D129E-AC2A-4E19-B460-BF720026137F}" srcOrd="0" destOrd="0" parTransId="{6A70EFA1-16A0-46E0-986E-C9DBE449A7F1}" sibTransId="{C50F312D-741E-46E6-B9FE-8CD011059B79}"/>
    <dgm:cxn modelId="{85912E54-92EA-401A-AEC3-D1C5B197F4D0}" srcId="{31FB4693-F489-49C2-B13F-C595A773F44F}" destId="{09B150F9-A70F-4F63-93D5-1F687BA32981}" srcOrd="2" destOrd="0" parTransId="{CA45F723-7A18-4DA7-90EB-C80DA11E581B}" sibTransId="{DBEB5C37-7A5D-4A94-8527-5E3339529283}"/>
    <dgm:cxn modelId="{AD34ECBC-48B3-4166-8115-547C8FC949DD}" type="presOf" srcId="{09B150F9-A70F-4F63-93D5-1F687BA32981}" destId="{9815354A-51D7-405A-A0C9-6C8C5B6032A4}" srcOrd="0" destOrd="0" presId="urn:microsoft.com/office/officeart/2005/8/layout/process1"/>
    <dgm:cxn modelId="{0C48B7D7-904C-4489-8B07-FED3761ED12A}" type="presOf" srcId="{D86D129E-AC2A-4E19-B460-BF720026137F}" destId="{A166B2FD-3B49-4D8D-9977-C990E2FF4C2E}" srcOrd="0" destOrd="0" presId="urn:microsoft.com/office/officeart/2005/8/layout/process1"/>
    <dgm:cxn modelId="{B93CAFEE-D2EB-4CBC-A88E-2CCE17DA5A48}" type="presOf" srcId="{C50F312D-741E-46E6-B9FE-8CD011059B79}" destId="{1A8807AE-AA7E-4A40-8EDE-2814EBC149FB}" srcOrd="0" destOrd="0" presId="urn:microsoft.com/office/officeart/2005/8/layout/process1"/>
    <dgm:cxn modelId="{A08584F3-BBC4-4FEF-A1CA-B6E3D4B25AA8}" type="presOf" srcId="{ECD25430-01FD-4AB9-8732-67AFE6866FC3}" destId="{5CB755E5-DA3D-48B4-B135-5CCEDC5FD2D7}" srcOrd="1" destOrd="0" presId="urn:microsoft.com/office/officeart/2005/8/layout/process1"/>
    <dgm:cxn modelId="{32332BC3-0203-474B-81D6-3B478B728BA6}" type="presParOf" srcId="{B5795944-4AB0-4792-BE9D-6E2484D6A860}" destId="{A166B2FD-3B49-4D8D-9977-C990E2FF4C2E}" srcOrd="0" destOrd="0" presId="urn:microsoft.com/office/officeart/2005/8/layout/process1"/>
    <dgm:cxn modelId="{455DC29E-B21D-4BA7-BBC2-C7AC6F2EA70A}" type="presParOf" srcId="{B5795944-4AB0-4792-BE9D-6E2484D6A860}" destId="{1A8807AE-AA7E-4A40-8EDE-2814EBC149FB}" srcOrd="1" destOrd="0" presId="urn:microsoft.com/office/officeart/2005/8/layout/process1"/>
    <dgm:cxn modelId="{222808E4-A114-4AAA-8CD9-12C1684500C8}" type="presParOf" srcId="{1A8807AE-AA7E-4A40-8EDE-2814EBC149FB}" destId="{596F218C-8F6F-4FDE-A2F3-BB4F633480E4}" srcOrd="0" destOrd="0" presId="urn:microsoft.com/office/officeart/2005/8/layout/process1"/>
    <dgm:cxn modelId="{F3DC03A5-5D32-4C8C-820D-6CEF57DE32BF}" type="presParOf" srcId="{B5795944-4AB0-4792-BE9D-6E2484D6A860}" destId="{325FBB66-07C5-4A17-8F78-8C8A59257B92}" srcOrd="2" destOrd="0" presId="urn:microsoft.com/office/officeart/2005/8/layout/process1"/>
    <dgm:cxn modelId="{3AD3CB74-D6E1-434D-AF9D-009E3C12D0D1}" type="presParOf" srcId="{B5795944-4AB0-4792-BE9D-6E2484D6A860}" destId="{525512A2-2D64-44B9-B50C-0ADAE482549E}" srcOrd="3" destOrd="0" presId="urn:microsoft.com/office/officeart/2005/8/layout/process1"/>
    <dgm:cxn modelId="{6DA24C68-A263-4687-9C74-79013C0404E5}" type="presParOf" srcId="{525512A2-2D64-44B9-B50C-0ADAE482549E}" destId="{5CB755E5-DA3D-48B4-B135-5CCEDC5FD2D7}" srcOrd="0" destOrd="0" presId="urn:microsoft.com/office/officeart/2005/8/layout/process1"/>
    <dgm:cxn modelId="{A0C0C4D1-96F3-4C83-B0BC-065B495CA6F9}" type="presParOf" srcId="{B5795944-4AB0-4792-BE9D-6E2484D6A860}" destId="{9815354A-51D7-405A-A0C9-6C8C5B6032A4}" srcOrd="4" destOrd="0" presId="urn:microsoft.com/office/officeart/2005/8/layout/process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A166B2FD-3B49-4D8D-9977-C990E2FF4C2E}">
      <dsp:nvSpPr>
        <dsp:cNvPr id="0" name=""/>
        <dsp:cNvSpPr/>
      </dsp:nvSpPr>
      <dsp:spPr>
        <a:xfrm>
          <a:off x="2891" y="247413"/>
          <a:ext cx="864330" cy="68876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Get a Job</a:t>
          </a:r>
        </a:p>
      </dsp:txBody>
      <dsp:txXfrm>
        <a:off x="23064" y="267586"/>
        <a:ext cx="823984" cy="648417"/>
      </dsp:txXfrm>
    </dsp:sp>
    <dsp:sp modelId="{1A8807AE-AA7E-4A40-8EDE-2814EBC149FB}">
      <dsp:nvSpPr>
        <dsp:cNvPr id="0" name=""/>
        <dsp:cNvSpPr/>
      </dsp:nvSpPr>
      <dsp:spPr>
        <a:xfrm>
          <a:off x="953655" y="484618"/>
          <a:ext cx="183238" cy="21435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kern="1200"/>
        </a:p>
      </dsp:txBody>
      <dsp:txXfrm>
        <a:off x="953655" y="527489"/>
        <a:ext cx="128267" cy="128611"/>
      </dsp:txXfrm>
    </dsp:sp>
    <dsp:sp modelId="{325FBB66-07C5-4A17-8F78-8C8A59257B92}">
      <dsp:nvSpPr>
        <dsp:cNvPr id="0" name=""/>
        <dsp:cNvSpPr/>
      </dsp:nvSpPr>
      <dsp:spPr>
        <a:xfrm>
          <a:off x="1212954" y="247413"/>
          <a:ext cx="864330" cy="68876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Work</a:t>
          </a:r>
        </a:p>
      </dsp:txBody>
      <dsp:txXfrm>
        <a:off x="1233127" y="267586"/>
        <a:ext cx="823984" cy="648417"/>
      </dsp:txXfrm>
    </dsp:sp>
    <dsp:sp modelId="{525512A2-2D64-44B9-B50C-0ADAE482549E}">
      <dsp:nvSpPr>
        <dsp:cNvPr id="0" name=""/>
        <dsp:cNvSpPr/>
      </dsp:nvSpPr>
      <dsp:spPr>
        <a:xfrm>
          <a:off x="2163718" y="484618"/>
          <a:ext cx="183238" cy="214353"/>
        </a:xfrm>
        <a:prstGeom prst="rightArrow">
          <a:avLst>
            <a:gd name="adj1" fmla="val 60000"/>
            <a:gd name="adj2" fmla="val 50000"/>
          </a:avLst>
        </a:prstGeom>
        <a:solidFill>
          <a:schemeClr val="accent1">
            <a:tint val="6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900" kern="1200"/>
        </a:p>
      </dsp:txBody>
      <dsp:txXfrm>
        <a:off x="2163718" y="527489"/>
        <a:ext cx="128267" cy="128611"/>
      </dsp:txXfrm>
    </dsp:sp>
    <dsp:sp modelId="{9815354A-51D7-405A-A0C9-6C8C5B6032A4}">
      <dsp:nvSpPr>
        <dsp:cNvPr id="0" name=""/>
        <dsp:cNvSpPr/>
      </dsp:nvSpPr>
      <dsp:spPr>
        <a:xfrm>
          <a:off x="2423017" y="247413"/>
          <a:ext cx="864330" cy="68876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8580" tIns="68580" rIns="68580" bIns="6858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800" kern="1200"/>
            <a:t>Get Paid</a:t>
          </a:r>
        </a:p>
      </dsp:txBody>
      <dsp:txXfrm>
        <a:off x="2443190" y="267586"/>
        <a:ext cx="823984" cy="648417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process1">
  <dgm:title val=""/>
  <dgm:desc val=""/>
  <dgm:catLst>
    <dgm:cat type="process" pri="1000"/>
    <dgm:cat type="convert" pri="15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choose name="Name1">
      <dgm:if name="Name2" func="var" arg="dir" op="equ" val="norm">
        <dgm:alg type="lin"/>
      </dgm:if>
      <dgm:else name="Name3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h" for="ch" ptType="node" op="equ"/>
      <dgm:constr type="primFontSz" for="ch" ptType="node" op="equ" val="65"/>
      <dgm:constr type="w" for="ch" ptType="sibTrans" refType="w" refFor="ch" refPtType="node" op="equ" fact="0.4"/>
      <dgm:constr type="h" for="ch" ptType="sibTrans" op="equ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18" fact="NaN" max="NaN"/>
          <dgm:rule type="h" val="NaN" fact="1.5" max="NaN"/>
          <dgm:rule type="primFontSz" val="5" fact="NaN" max="NaN"/>
          <dgm:rule type="h" val="INF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  <dgm:constr type="begPad" refType="connDist" fact="0.25"/>
            <dgm:constr type="endPad" refType="connDist" fact="0.22"/>
          </dgm:constrLst>
          <dgm:ruleLst/>
          <dgm:layoutNode name="connectorText">
            <dgm:alg type="tx">
              <dgm:param type="autoTxRot" val="grav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723823</xdr:colOff>
      <xdr:row>3</xdr:row>
      <xdr:rowOff>22242</xdr:rowOff>
    </xdr:from>
    <xdr:to>
      <xdr:col>8</xdr:col>
      <xdr:colOff>461046</xdr:colOff>
      <xdr:row>4</xdr:row>
      <xdr:rowOff>66398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85FD357C-D222-3A32-D3F6-11D2B43B5C68}"/>
            </a:ext>
          </a:extLst>
        </xdr:cNvPr>
        <xdr:cNvSpPr/>
      </xdr:nvSpPr>
      <xdr:spPr>
        <a:xfrm rot="19795622" flipV="1">
          <a:off x="5610148" y="803292"/>
          <a:ext cx="470648" cy="225131"/>
        </a:xfrm>
        <a:prstGeom prst="leftArrow">
          <a:avLst>
            <a:gd name="adj1" fmla="val 51573"/>
            <a:gd name="adj2" fmla="val 102710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165064</xdr:colOff>
      <xdr:row>11</xdr:row>
      <xdr:rowOff>76850</xdr:rowOff>
    </xdr:from>
    <xdr:to>
      <xdr:col>6</xdr:col>
      <xdr:colOff>602348</xdr:colOff>
      <xdr:row>13</xdr:row>
      <xdr:rowOff>115816</xdr:rowOff>
    </xdr:to>
    <xdr:sp macro="" textlink="">
      <xdr:nvSpPr>
        <xdr:cNvPr id="3" name="Smiley Face 2">
          <a:extLst>
            <a:ext uri="{FF2B5EF4-FFF2-40B4-BE49-F238E27FC236}">
              <a16:creationId xmlns:a16="http://schemas.microsoft.com/office/drawing/2014/main" id="{68B5D39C-22E3-F6C6-F46F-26906952BC56}"/>
            </a:ext>
          </a:extLst>
        </xdr:cNvPr>
        <xdr:cNvSpPr/>
      </xdr:nvSpPr>
      <xdr:spPr>
        <a:xfrm>
          <a:off x="3951252" y="2368803"/>
          <a:ext cx="437284" cy="419966"/>
        </a:xfrm>
        <a:prstGeom prst="smileyFace">
          <a:avLst>
            <a:gd name="adj" fmla="val 465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103367</xdr:colOff>
      <xdr:row>14</xdr:row>
      <xdr:rowOff>111810</xdr:rowOff>
    </xdr:from>
    <xdr:to>
      <xdr:col>6</xdr:col>
      <xdr:colOff>574207</xdr:colOff>
      <xdr:row>20</xdr:row>
      <xdr:rowOff>152400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457908A3-3398-66E7-D640-3E6BECC22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291703</xdr:colOff>
      <xdr:row>1</xdr:row>
      <xdr:rowOff>160733</xdr:rowOff>
    </xdr:from>
    <xdr:to>
      <xdr:col>17</xdr:col>
      <xdr:colOff>773906</xdr:colOff>
      <xdr:row>18</xdr:row>
      <xdr:rowOff>95249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9767BF-58D0-F67F-7CAC-9B005DE7C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05DEF-1445-437A-9F95-A51AA375E64E}">
  <dimension ref="B2:H15"/>
  <sheetViews>
    <sheetView showGridLines="0" tabSelected="1" zoomScale="160" zoomScaleNormal="160" workbookViewId="0">
      <selection activeCell="F7" sqref="F7"/>
    </sheetView>
  </sheetViews>
  <sheetFormatPr defaultRowHeight="15" x14ac:dyDescent="0.25"/>
  <cols>
    <col min="1" max="1" width="2.7109375" customWidth="1"/>
    <col min="2" max="2" width="12" customWidth="1"/>
    <col min="3" max="6" width="10.5703125" bestFit="1" customWidth="1"/>
    <col min="7" max="7" width="11.5703125" bestFit="1" customWidth="1"/>
    <col min="8" max="8" width="10.28515625" customWidth="1"/>
    <col min="18" max="18" width="13.140625" customWidth="1"/>
  </cols>
  <sheetData>
    <row r="2" spans="2:8" ht="31.5" x14ac:dyDescent="0.5">
      <c r="B2" s="15" t="s">
        <v>12</v>
      </c>
      <c r="C2" s="15"/>
      <c r="D2" s="15"/>
      <c r="E2" s="15"/>
      <c r="F2" s="15"/>
      <c r="G2" s="15"/>
      <c r="H2" s="15"/>
    </row>
    <row r="4" spans="2:8" ht="14.25" customHeight="1" thickBot="1" x14ac:dyDescent="0.3">
      <c r="B4" s="13" t="s">
        <v>0</v>
      </c>
      <c r="C4" s="14">
        <v>46054</v>
      </c>
      <c r="D4" s="14">
        <v>46082</v>
      </c>
      <c r="E4" s="14">
        <v>46113</v>
      </c>
      <c r="F4" s="14">
        <v>46143</v>
      </c>
      <c r="G4" s="4" t="s">
        <v>6</v>
      </c>
      <c r="H4" s="13" t="s">
        <v>7</v>
      </c>
    </row>
    <row r="5" spans="2:8" x14ac:dyDescent="0.25">
      <c r="B5" s="1" t="s">
        <v>1</v>
      </c>
      <c r="C5" s="5">
        <v>1200</v>
      </c>
      <c r="D5" s="5">
        <v>1200</v>
      </c>
      <c r="E5" s="5">
        <v>1200</v>
      </c>
      <c r="F5" s="5">
        <v>1200</v>
      </c>
      <c r="G5" s="6">
        <f>SUM(C5:F5)</f>
        <v>4800</v>
      </c>
      <c r="H5" s="11">
        <f>G5/$G$10</f>
        <v>0.45999041686631531</v>
      </c>
    </row>
    <row r="6" spans="2:8" x14ac:dyDescent="0.25">
      <c r="B6" s="2" t="s">
        <v>2</v>
      </c>
      <c r="C6" s="9">
        <v>450</v>
      </c>
      <c r="D6" s="9">
        <v>500</v>
      </c>
      <c r="E6" s="9">
        <v>450</v>
      </c>
      <c r="F6" s="9">
        <v>650</v>
      </c>
      <c r="G6" s="10">
        <f t="shared" ref="G6:G10" si="0">SUM(C6:F6)</f>
        <v>2050</v>
      </c>
      <c r="H6" s="12">
        <f>G6/$G$10</f>
        <v>0.1964542405366555</v>
      </c>
    </row>
    <row r="7" spans="2:8" x14ac:dyDescent="0.25">
      <c r="B7" s="2" t="s">
        <v>3</v>
      </c>
      <c r="C7" s="9">
        <v>700</v>
      </c>
      <c r="D7" s="9">
        <v>700</v>
      </c>
      <c r="E7" s="9">
        <v>700</v>
      </c>
      <c r="F7" s="9">
        <v>700</v>
      </c>
      <c r="G7" s="10">
        <f t="shared" si="0"/>
        <v>2800</v>
      </c>
      <c r="H7" s="12">
        <f>G7/$G$10</f>
        <v>0.26832774317201724</v>
      </c>
    </row>
    <row r="8" spans="2:8" x14ac:dyDescent="0.25">
      <c r="B8" s="2" t="s">
        <v>4</v>
      </c>
      <c r="C8" s="9">
        <v>95</v>
      </c>
      <c r="D8" s="9">
        <v>95</v>
      </c>
      <c r="E8" s="9">
        <v>125</v>
      </c>
      <c r="F8" s="9">
        <v>95</v>
      </c>
      <c r="G8" s="10">
        <f t="shared" si="0"/>
        <v>410</v>
      </c>
      <c r="H8" s="12">
        <f>G8/$G$10</f>
        <v>3.9290848107331099E-2</v>
      </c>
    </row>
    <row r="9" spans="2:8" x14ac:dyDescent="0.25">
      <c r="B9" s="2" t="s">
        <v>5</v>
      </c>
      <c r="C9" s="9">
        <v>150</v>
      </c>
      <c r="D9" s="9">
        <v>100</v>
      </c>
      <c r="E9" s="9">
        <v>50</v>
      </c>
      <c r="F9" s="9">
        <v>75</v>
      </c>
      <c r="G9" s="10">
        <f t="shared" si="0"/>
        <v>375</v>
      </c>
      <c r="H9" s="12">
        <f>G9/$G$10</f>
        <v>3.5936751317680884E-2</v>
      </c>
    </row>
    <row r="10" spans="2:8" x14ac:dyDescent="0.25">
      <c r="B10" s="3" t="s">
        <v>6</v>
      </c>
      <c r="C10" s="7">
        <f>SUM(C5:C9)</f>
        <v>2595</v>
      </c>
      <c r="D10" s="7">
        <f t="shared" ref="D10:F10" si="1">SUM(D5:D9)</f>
        <v>2595</v>
      </c>
      <c r="E10" s="7">
        <f t="shared" si="1"/>
        <v>2525</v>
      </c>
      <c r="F10" s="7">
        <f t="shared" si="1"/>
        <v>2720</v>
      </c>
      <c r="G10" s="8">
        <f t="shared" si="0"/>
        <v>10435</v>
      </c>
    </row>
    <row r="12" spans="2:8" x14ac:dyDescent="0.25">
      <c r="B12" s="2" t="s">
        <v>8</v>
      </c>
      <c r="C12" s="5">
        <f>AVERAGE(C5:C9)</f>
        <v>519</v>
      </c>
      <c r="D12" s="5">
        <f t="shared" ref="D12:F12" si="2">AVERAGE(D5:D9)</f>
        <v>519</v>
      </c>
      <c r="E12" s="5">
        <f t="shared" si="2"/>
        <v>505</v>
      </c>
      <c r="F12" s="5">
        <f t="shared" si="2"/>
        <v>544</v>
      </c>
    </row>
    <row r="13" spans="2:8" x14ac:dyDescent="0.25">
      <c r="B13" s="2" t="s">
        <v>9</v>
      </c>
      <c r="C13" s="9">
        <f>MIN(C5:C9)</f>
        <v>95</v>
      </c>
      <c r="D13" s="9">
        <f t="shared" ref="D13:F13" si="3">MIN(D5:D9)</f>
        <v>95</v>
      </c>
      <c r="E13" s="9">
        <f t="shared" si="3"/>
        <v>50</v>
      </c>
      <c r="F13" s="9">
        <f t="shared" si="3"/>
        <v>75</v>
      </c>
    </row>
    <row r="14" spans="2:8" x14ac:dyDescent="0.25">
      <c r="B14" s="2" t="s">
        <v>10</v>
      </c>
      <c r="C14" s="5">
        <f>MAX(C5:C9)</f>
        <v>1200</v>
      </c>
      <c r="D14" s="5">
        <f t="shared" ref="D14:F14" si="4">MAX(D5:D9)</f>
        <v>1200</v>
      </c>
      <c r="E14" s="5">
        <f t="shared" si="4"/>
        <v>1200</v>
      </c>
      <c r="F14" s="5">
        <f t="shared" si="4"/>
        <v>1200</v>
      </c>
    </row>
    <row r="15" spans="2:8" x14ac:dyDescent="0.25">
      <c r="B15" s="2" t="s">
        <v>11</v>
      </c>
      <c r="C15">
        <f>COUNT(C5:C9)</f>
        <v>5</v>
      </c>
      <c r="D15">
        <f t="shared" ref="D15:F15" si="5">COUNT(D5:D9)</f>
        <v>5</v>
      </c>
      <c r="E15">
        <f t="shared" si="5"/>
        <v>5</v>
      </c>
      <c r="F15">
        <f t="shared" si="5"/>
        <v>5</v>
      </c>
    </row>
  </sheetData>
  <mergeCells count="1">
    <mergeCell ref="B2:H2"/>
  </mergeCells>
  <phoneticPr fontId="4" type="noConversion"/>
  <conditionalFormatting sqref="C5:F9">
    <cfRule type="cellIs" dxfId="0" priority="1" operator="greaterThan">
      <formula>700</formula>
    </cfRule>
  </conditionalFormatting>
  <printOptions horizontalCentered="1" verticalCentered="1"/>
  <pageMargins left="0.25" right="0.25" top="0.75" bottom="0.75" header="0.3" footer="0.3"/>
  <pageSetup scale="145" pageOrder="overThenDown" orientation="landscape" r:id="rId1"/>
  <headerFooter>
    <oddHeader>&amp;RKyle Pew</oddHead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Monthly Budget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cp:lastPrinted>2026-02-11T18:13:02Z</cp:lastPrinted>
  <dcterms:created xsi:type="dcterms:W3CDTF">2026-02-03T17:58:57Z</dcterms:created>
  <dcterms:modified xsi:type="dcterms:W3CDTF">2026-02-13T16:54:51Z</dcterms:modified>
</cp:coreProperties>
</file>